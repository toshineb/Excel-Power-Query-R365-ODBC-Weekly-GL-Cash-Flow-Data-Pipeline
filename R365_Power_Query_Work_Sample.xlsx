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1A278C2-D3CD-4B93-961B-2337A8624B77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README" sheetId="1" state="hidden" r:id="rId1"/>
    <sheet name="Parameters" sheetId="2" r:id="rId2"/>
    <sheet name="Mock GL Lines" sheetId="3" r:id="rId3"/>
    <sheet name="GL Mapping" sheetId="4" r:id="rId4"/>
    <sheet name="Filter Spec" sheetId="5" state="hidden" r:id="rId5"/>
    <sheet name="R365 Raw Pull" sheetId="6" r:id="rId6"/>
    <sheet name="Validation" sheetId="7" r:id="rId7"/>
  </sheet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7" l="1"/>
  <c r="C8" i="7"/>
  <c r="D8" i="7" s="1"/>
  <c r="E8" i="7" s="1"/>
  <c r="F8" i="7" s="1"/>
  <c r="H7" i="7"/>
  <c r="C7" i="7"/>
  <c r="D7" i="7" s="1"/>
  <c r="E7" i="7" s="1"/>
  <c r="F7" i="7" s="1"/>
  <c r="H6" i="7"/>
  <c r="D6" i="7"/>
  <c r="E6" i="7" s="1"/>
  <c r="F6" i="7" s="1"/>
  <c r="C6" i="7"/>
  <c r="H5" i="7"/>
  <c r="C5" i="7"/>
  <c r="D5" i="7" s="1"/>
  <c r="E5" i="7" s="1"/>
  <c r="F5" i="7" s="1"/>
  <c r="B14" i="7" s="1"/>
  <c r="B15" i="7" s="1"/>
</calcChain>
</file>

<file path=xl/sharedStrings.xml><?xml version="1.0" encoding="utf-8"?>
<sst xmlns="http://schemas.openxmlformats.org/spreadsheetml/2006/main" count="434" uniqueCount="188">
  <si>
    <t>R365 Weekly Cash Flow Power Query Work Sample</t>
  </si>
  <si>
    <t>Self-contained demo showing the data pipe pattern for pulling weekly ACTUAL cash-flow GL lines from Restaurant365 via ODBC.</t>
  </si>
  <si>
    <t>Section</t>
  </si>
  <si>
    <t>What it demonstrates</t>
  </si>
  <si>
    <t>Parameters</t>
  </si>
  <si>
    <t>User-selected Start Date, As-of Sunday, Entity, DSN, and refresh control assumptions.</t>
  </si>
  <si>
    <t>Mock GL Lines</t>
  </si>
  <si>
    <t>Sample GL transaction lines that simulate R365 ODBC output for testing the transformation without credentials.</t>
  </si>
  <si>
    <t>GL Mapping</t>
  </si>
  <si>
    <t>GL Account → Cash Flow Output Column mapping used by the query.</t>
  </si>
  <si>
    <t>Filter Spec</t>
  </si>
  <si>
    <t>Cash-affecting transaction filter rules and exclusions.</t>
  </si>
  <si>
    <t>R365 Raw Pull</t>
  </si>
  <si>
    <t>Predefined output schema for weekly ACTUAL cash flow raw pull, overwritten on each refresh.</t>
  </si>
  <si>
    <t>Validation</t>
  </si>
  <si>
    <t>4-week reconciliation check to Statement of Cash Flows target totals, with within-1% pass/fail logic.</t>
  </si>
  <si>
    <t>Power Query M Code</t>
  </si>
  <si>
    <t>Copy-ready Power Query M for both live ODBC and local mock-table demo versions.</t>
  </si>
  <si>
    <t>Portfolio positioning note</t>
  </si>
  <si>
    <t>This workbook is a safe demonstration sample. In a client workbook, I would swap the mock table source for the supplied R365 ODBC DSN and credentials, replace placeholder table/field names with the client’s R365 ODBC schema, then load the final query to the scaffolded 'R365 Raw Pull' tab as a full-refresh overwrite.</t>
  </si>
  <si>
    <t>Power Query Parameters</t>
  </si>
  <si>
    <t>These named inputs drive the refresh window, entity filter, and ODBC connection string.</t>
  </si>
  <si>
    <t>Parameter</t>
  </si>
  <si>
    <t>Value</t>
  </si>
  <si>
    <t>Type</t>
  </si>
  <si>
    <t>Notes</t>
  </si>
  <si>
    <t>pStartDate</t>
  </si>
  <si>
    <t>Date</t>
  </si>
  <si>
    <t>Beginning transaction date to include.</t>
  </si>
  <si>
    <t>pAsOfSunday</t>
  </si>
  <si>
    <t>Must be a Sunday; query includes all week-ending Sundays through this date.</t>
  </si>
  <si>
    <t>pEntity</t>
  </si>
  <si>
    <t>Humble Baron</t>
  </si>
  <si>
    <t>Text</t>
  </si>
  <si>
    <t>Entity/location filter requested in scope.</t>
  </si>
  <si>
    <t>pODBC_DSN</t>
  </si>
  <si>
    <t>Configured in Windows ODBC Data Sources before refresh.</t>
  </si>
  <si>
    <t>pOverwriteMode</t>
  </si>
  <si>
    <t>Full overwrite on refresh</t>
  </si>
  <si>
    <t>Query loads clean output, replacing prior rows.</t>
  </si>
  <si>
    <t>Mock R365 GL Transaction Lines</t>
  </si>
  <si>
    <t>Represents the transaction-line grain expected from R365 ODBC before Power Query filters and maps it.</t>
  </si>
  <si>
    <t>TransactionDate</t>
  </si>
  <si>
    <t>WeekEndingSunday</t>
  </si>
  <si>
    <t>Entity</t>
  </si>
  <si>
    <t>GLAccount</t>
  </si>
  <si>
    <t>AccountName</t>
  </si>
  <si>
    <t>Department</t>
  </si>
  <si>
    <t>VendorPayee</t>
  </si>
  <si>
    <t>Memo</t>
  </si>
  <si>
    <t>SourceModule</t>
  </si>
  <si>
    <t>JournalEntryNo</t>
  </si>
  <si>
    <t>Debit</t>
  </si>
  <si>
    <t>Credit</t>
  </si>
  <si>
    <t>IsCashAccount</t>
  </si>
  <si>
    <t>CashAffectingFlag</t>
  </si>
  <si>
    <t>1000</t>
  </si>
  <si>
    <t>Operating Cash</t>
  </si>
  <si>
    <t>Store</t>
  </si>
  <si>
    <t>Credit Card Processor</t>
  </si>
  <si>
    <t>Weekly card deposits</t>
  </si>
  <si>
    <t>Sales</t>
  </si>
  <si>
    <t>JE-1001</t>
  </si>
  <si>
    <t>Payroll Provider</t>
  </si>
  <si>
    <t>Payroll funding</t>
  </si>
  <si>
    <t>AP</t>
  </si>
  <si>
    <t>JE-1002</t>
  </si>
  <si>
    <t>Utility Co.</t>
  </si>
  <si>
    <t>Utilities paid</t>
  </si>
  <si>
    <t>JE-1003</t>
  </si>
  <si>
    <t>Other Entity</t>
  </si>
  <si>
    <t>Exclude Test</t>
  </si>
  <si>
    <t>Different entity</t>
  </si>
  <si>
    <t>JE-9991</t>
  </si>
  <si>
    <t>JE-1004</t>
  </si>
  <si>
    <t>Food Distributor</t>
  </si>
  <si>
    <t>Food inventory payment</t>
  </si>
  <si>
    <t>JE-1005</t>
  </si>
  <si>
    <t>JE-1006</t>
  </si>
  <si>
    <t>1300</t>
  </si>
  <si>
    <t>Accounts Receivable</t>
  </si>
  <si>
    <t>Accrual</t>
  </si>
  <si>
    <t>Non-cash revenue accrual</t>
  </si>
  <si>
    <t>GL</t>
  </si>
  <si>
    <t>JE-1007</t>
  </si>
  <si>
    <t>JE-1008</t>
  </si>
  <si>
    <t>JE-1009</t>
  </si>
  <si>
    <t>Rent LLC</t>
  </si>
  <si>
    <t>Monthly rent</t>
  </si>
  <si>
    <t>JE-1010</t>
  </si>
  <si>
    <t>Bank</t>
  </si>
  <si>
    <t>Intercompany transfer excluded</t>
  </si>
  <si>
    <t>Transfer</t>
  </si>
  <si>
    <t>JE-1011</t>
  </si>
  <si>
    <t>JE-1012</t>
  </si>
  <si>
    <t>JE-1013</t>
  </si>
  <si>
    <t>JE-1014</t>
  </si>
  <si>
    <t>2200</t>
  </si>
  <si>
    <t>Sales Tax Payable</t>
  </si>
  <si>
    <t>Tax accrual non-cash</t>
  </si>
  <si>
    <t>JE-1015</t>
  </si>
  <si>
    <t>GL Account to Cash Flow Output Mapping</t>
  </si>
  <si>
    <t>Used by Power Query to assign each included GL line to the predefined cash flow output column.</t>
  </si>
  <si>
    <t>CashFlowSection</t>
  </si>
  <si>
    <t>OutputColumn</t>
  </si>
  <si>
    <t>SignConvention</t>
  </si>
  <si>
    <t>IncludeDefault</t>
  </si>
  <si>
    <t>Cash</t>
  </si>
  <si>
    <t>Net Cash Movement</t>
  </si>
  <si>
    <t>Debit positive / Credit negative</t>
  </si>
  <si>
    <t>Y</t>
  </si>
  <si>
    <t>Cash account used to derive cash movement.</t>
  </si>
  <si>
    <t>4000</t>
  </si>
  <si>
    <t>Food Sales</t>
  </si>
  <si>
    <t>Operating</t>
  </si>
  <si>
    <t>Sales Deposits</t>
  </si>
  <si>
    <t>Credit positive</t>
  </si>
  <si>
    <t>Non-cash revenue lines are excluded unless matched to cash settlement.</t>
  </si>
  <si>
    <t>5000</t>
  </si>
  <si>
    <t>Food Cost</t>
  </si>
  <si>
    <t>Food &amp; Beverage Payments</t>
  </si>
  <si>
    <t>Debit negative</t>
  </si>
  <si>
    <t>Vendor payments by AP/cash disbursements.</t>
  </si>
  <si>
    <t>6100</t>
  </si>
  <si>
    <t>Payroll Expense</t>
  </si>
  <si>
    <t>Payroll Payments</t>
  </si>
  <si>
    <t>Payroll funding transactions.</t>
  </si>
  <si>
    <t>7000</t>
  </si>
  <si>
    <t>Rent Expense</t>
  </si>
  <si>
    <t>Rent Payments</t>
  </si>
  <si>
    <t>Lease/rent cash payments.</t>
  </si>
  <si>
    <t>Working Capital</t>
  </si>
  <si>
    <t>Excluded Non-Cash</t>
  </si>
  <si>
    <t>N/A</t>
  </si>
  <si>
    <t>N</t>
  </si>
  <si>
    <t>Excluded for accrual-only, non-cash activity.</t>
  </si>
  <si>
    <t>Excluded unless actual tax remittance hits cash.</t>
  </si>
  <si>
    <t>Cash-Affecting Transaction Filter Specification</t>
  </si>
  <si>
    <t>This documents the business logic that is implemented in the Power Query step before load.</t>
  </si>
  <si>
    <t>Rule ID</t>
  </si>
  <si>
    <t>Rule</t>
  </si>
  <si>
    <t>Implementation in Power Query</t>
  </si>
  <si>
    <t>Expected Result</t>
  </si>
  <si>
    <t>F01</t>
  </si>
  <si>
    <t>Entity equals Humble Baron</t>
  </si>
  <si>
    <t>Table.SelectRows(..., each [Entity] = pEntity)</t>
  </si>
  <si>
    <t>Only Humble Baron rows included.</t>
  </si>
  <si>
    <t>F02</t>
  </si>
  <si>
    <t>Transaction date is on/after Start Date and on/before As-of Sunday</t>
  </si>
  <si>
    <t>Date.From([TransactionDate]) &gt;= pStartDate and &lt;= pAsOfSunday</t>
  </si>
  <si>
    <t>Pull covers all weeks in selected range.</t>
  </si>
  <si>
    <t>F03</t>
  </si>
  <si>
    <t>Only cash-affecting rows</t>
  </si>
  <si>
    <t>[IsCashAccount] = true and [CashAffectingFlag] = true</t>
  </si>
  <si>
    <t>Accrual-only and memo rows excluded.</t>
  </si>
  <si>
    <t>F04</t>
  </si>
  <si>
    <t>Exclude transfers / intercompany activity unless client spec says otherwise</t>
  </si>
  <si>
    <t>not Text.Contains(Text.Upper([SourceModule]), "TRANSFER")</t>
  </si>
  <si>
    <t>Internal cash movements do not inflate cash flow.</t>
  </si>
  <si>
    <t>F05</t>
  </si>
  <si>
    <t>Week ending normalized to Sunday</t>
  </si>
  <si>
    <t>Date.EndOfWeek([TransactionDate], Day.Sunday)</t>
  </si>
  <si>
    <t>Every line buckets to one week ending Sunday.</t>
  </si>
  <si>
    <t>F06</t>
  </si>
  <si>
    <t>Output column assigned from mapping</t>
  </si>
  <si>
    <t>Table.NestedJoin(GLLines, {"GLAccount"}, Mapping, {"GLAccount"}, ...)</t>
  </si>
  <si>
    <t>Raw pull aligns to budget comparison columns.</t>
  </si>
  <si>
    <t>Target tab schema. In production, the Power Query loads here and overwrites all rows on refresh.</t>
  </si>
  <si>
    <t>NetCashAmount</t>
  </si>
  <si>
    <t>IncludeInPull</t>
  </si>
  <si>
    <t>DataSource</t>
  </si>
  <si>
    <t>Mock_GL_Lines / ODBC pattern</t>
  </si>
  <si>
    <t>Validation: 4-Week Reconciliation to R365 Statement of Cash Flows</t>
  </si>
  <si>
    <t>Sample validation logic showing weekly output totals reconcile within the requested 1% tolerance.</t>
  </si>
  <si>
    <t>Expected Statement CF</t>
  </si>
  <si>
    <t>Raw Pull Total</t>
  </si>
  <si>
    <t>Variance</t>
  </si>
  <si>
    <t>Variance %</t>
  </si>
  <si>
    <t>Status</t>
  </si>
  <si>
    <t>Week Label</t>
  </si>
  <si>
    <t>Within 1% threshold</t>
  </si>
  <si>
    <t>Validation Summary</t>
  </si>
  <si>
    <t>Tolerance</t>
  </si>
  <si>
    <t>1%</t>
  </si>
  <si>
    <t>Weeks Tested</t>
  </si>
  <si>
    <t>Pass Count</t>
  </si>
  <si>
    <t>Overall Result</t>
  </si>
  <si>
    <t>Append for 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</si>
</sst>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;[Red]\(\$#,##0.00\)"/>
  </numFmts>
  <fonts count="5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4" fillId="6" borderId="1" xfId="0" applyFont="1" applyFill="1" applyBorder="1" applyAlignment="1">
      <alignment wrapText="1"/>
    </xf>
    <xf numFmtId="9" fontId="0" fillId="0" borderId="2" xfId="0" applyNumberFormat="1" applyBorder="1" applyAlignment="1">
      <alignment wrapText="1"/>
    </xf>
    <xf numFmtId="0" fontId="4" fillId="6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4" fillId="6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3" xfId="0" applyBorder="1"/>
    <xf numFmtId="164" fontId="0" fillId="0" borderId="8" xfId="0" applyNumberFormat="1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6" xfId="0" applyBorder="1"/>
    <xf numFmtId="164" fontId="0" fillId="0" borderId="3" xfId="0" applyNumberFormat="1" applyBorder="1"/>
    <xf numFmtId="165" fontId="0" fillId="0" borderId="8" xfId="0" applyNumberForma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5" xfId="0" applyNumberFormat="1" applyBorder="1"/>
    <xf numFmtId="164" fontId="0" fillId="0" borderId="9" xfId="0" applyNumberFormat="1" applyBorder="1"/>
    <xf numFmtId="165" fontId="0" fillId="0" borderId="9" xfId="0" applyNumberFormat="1" applyBorder="1"/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0" fontId="0" fillId="0" borderId="8" xfId="0" applyNumberFormat="1" applyBorder="1"/>
    <xf numFmtId="10" fontId="0" fillId="0" borderId="9" xfId="0" applyNumberFormat="1" applyBorder="1"/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4" fillId="5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Expected Statement CF</c:v>
          </c:tx>
          <c:invertIfNegative val="1"/>
          <c:cat>
            <c:strRef>
              <c:f>Validation!$H$5:$H$8</c:f>
              <c:strCache>
                <c:ptCount val="4"/>
                <c:pt idx="0">
                  <c:v>3/22</c:v>
                </c:pt>
                <c:pt idx="1">
                  <c:v>3/29</c:v>
                </c:pt>
                <c:pt idx="2">
                  <c:v>4/5</c:v>
                </c:pt>
                <c:pt idx="3">
                  <c:v>4/12</c:v>
                </c:pt>
              </c:strCache>
            </c:strRef>
          </c:cat>
          <c:val>
            <c:numRef>
              <c:f>Validation!$B$5:$B$8</c:f>
              <c:numCache>
                <c:formatCode>\$#,##0.00;[Red]\(\$#,##0.00\)</c:formatCode>
                <c:ptCount val="4"/>
                <c:pt idx="0">
                  <c:v>22094.1</c:v>
                </c:pt>
                <c:pt idx="1">
                  <c:v>17629.2</c:v>
                </c:pt>
                <c:pt idx="2">
                  <c:v>26500</c:v>
                </c:pt>
                <c:pt idx="3">
                  <c:v>15110.2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C-410F-AF9A-DA2EEC4B2D24}"/>
            </c:ext>
          </c:extLst>
        </c:ser>
        <c:ser>
          <c:idx val="1"/>
          <c:order val="1"/>
          <c:tx>
            <c:v>Raw Pull Total</c:v>
          </c:tx>
          <c:invertIfNegative val="1"/>
          <c:cat>
            <c:strRef>
              <c:f>Validation!$H$5:$H$8</c:f>
              <c:strCache>
                <c:ptCount val="4"/>
                <c:pt idx="0">
                  <c:v>3/22</c:v>
                </c:pt>
                <c:pt idx="1">
                  <c:v>3/29</c:v>
                </c:pt>
                <c:pt idx="2">
                  <c:v>4/5</c:v>
                </c:pt>
                <c:pt idx="3">
                  <c:v>4/12</c:v>
                </c:pt>
              </c:strCache>
            </c:strRef>
          </c:cat>
          <c:val>
            <c:numRef>
              <c:f>Validation!$C$5:$C$8</c:f>
              <c:numCache>
                <c:formatCode>\$#,##0.00;[Red]\(\$#,##0.00\)</c:formatCode>
                <c:ptCount val="4"/>
                <c:pt idx="0">
                  <c:v>22050</c:v>
                </c:pt>
                <c:pt idx="1">
                  <c:v>17700</c:v>
                </c:pt>
                <c:pt idx="2">
                  <c:v>26500</c:v>
                </c:pt>
                <c:pt idx="3">
                  <c:v>15050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C-410F-AF9A-DA2EEC4B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.00;[Red]\(\$#,##0.00\)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822960</xdr:colOff>
      <xdr:row>9</xdr:row>
      <xdr:rowOff>114300</xdr:rowOff>
    </xdr:from>
    <xdr:to>
      <xdr:col>6</xdr:col>
      <xdr:colOff>1615440</xdr:colOff>
      <xdr:row>25</xdr:row>
      <xdr:rowOff>7620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blParameters" displayName="tblParameters" ref="A4:D9">
  <tableColumns count="4">
    <tableColumn id="1" xr3:uid="{00000000-0010-0000-0000-000001000000}" name="Parameter"/>
    <tableColumn id="2" xr3:uid="{00000000-0010-0000-0000-000002000000}" name="Value"/>
    <tableColumn id="3" xr3:uid="{00000000-0010-0000-0000-000003000000}" name="Type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Mock_GL_Lines" displayName="Mock_GL_Lines" ref="A4:N20">
  <tableColumns count="14">
    <tableColumn id="1" xr3:uid="{00000000-0010-0000-0100-000001000000}" name="TransactionDate"/>
    <tableColumn id="2" xr3:uid="{00000000-0010-0000-0100-000002000000}" name="WeekEndingSunday"/>
    <tableColumn id="3" xr3:uid="{00000000-0010-0000-0100-000003000000}" name="Entity"/>
    <tableColumn id="4" xr3:uid="{00000000-0010-0000-0100-000004000000}" name="GLAccount"/>
    <tableColumn id="5" xr3:uid="{00000000-0010-0000-0100-000005000000}" name="AccountName"/>
    <tableColumn id="6" xr3:uid="{00000000-0010-0000-0100-000006000000}" name="Department"/>
    <tableColumn id="7" xr3:uid="{00000000-0010-0000-0100-000007000000}" name="VendorPayee"/>
    <tableColumn id="8" xr3:uid="{00000000-0010-0000-0100-000008000000}" name="Memo"/>
    <tableColumn id="9" xr3:uid="{00000000-0010-0000-0100-000009000000}" name="SourceModule"/>
    <tableColumn id="10" xr3:uid="{00000000-0010-0000-0100-00000A000000}" name="JournalEntryNo"/>
    <tableColumn id="11" xr3:uid="{00000000-0010-0000-0100-00000B000000}" name="Debit"/>
    <tableColumn id="12" xr3:uid="{00000000-0010-0000-0100-00000C000000}" name="Credit"/>
    <tableColumn id="13" xr3:uid="{00000000-0010-0000-0100-00000D000000}" name="IsCashAccount"/>
    <tableColumn id="14" xr3:uid="{00000000-0010-0000-0100-00000E000000}" name="CashAffecting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GL_Mapping" displayName="GL_Mapping" ref="A4:G11">
  <tableColumns count="7">
    <tableColumn id="1" xr3:uid="{00000000-0010-0000-0200-000001000000}" name="GLAccount"/>
    <tableColumn id="2" xr3:uid="{00000000-0010-0000-0200-000002000000}" name="AccountName"/>
    <tableColumn id="3" xr3:uid="{00000000-0010-0000-0200-000003000000}" name="CashFlowSection"/>
    <tableColumn id="4" xr3:uid="{00000000-0010-0000-0200-000004000000}" name="OutputColumn"/>
    <tableColumn id="5" xr3:uid="{00000000-0010-0000-0200-000005000000}" name="SignConvention"/>
    <tableColumn id="6" xr3:uid="{00000000-0010-0000-0200-000006000000}" name="IncludeDefault"/>
    <tableColumn id="7" xr3:uid="{00000000-0010-0000-0200-000007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ash_Filter_Spec" displayName="Cash_Filter_Spec" ref="A4:D10">
  <tableColumns count="4">
    <tableColumn id="1" xr3:uid="{00000000-0010-0000-0300-000001000000}" name="Rule ID"/>
    <tableColumn id="2" xr3:uid="{00000000-0010-0000-0300-000002000000}" name="Rule"/>
    <tableColumn id="3" xr3:uid="{00000000-0010-0000-0300-000003000000}" name="Implementation in Power Query"/>
    <tableColumn id="4" xr3:uid="{00000000-0010-0000-0300-000004000000}" name="Expected Resul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R365_Raw_Pull" displayName="_R365_Raw_Pull" ref="A4:P16">
  <tableColumns count="16">
    <tableColumn id="1" xr3:uid="{00000000-0010-0000-0400-000001000000}" name="Entity"/>
    <tableColumn id="2" xr3:uid="{00000000-0010-0000-0400-000002000000}" name="WeekEndingSunday"/>
    <tableColumn id="3" xr3:uid="{00000000-0010-0000-0400-000003000000}" name="TransactionDate"/>
    <tableColumn id="4" xr3:uid="{00000000-0010-0000-0400-000004000000}" name="GLAccount"/>
    <tableColumn id="5" xr3:uid="{00000000-0010-0000-0400-000005000000}" name="AccountName"/>
    <tableColumn id="6" xr3:uid="{00000000-0010-0000-0400-000006000000}" name="CashFlowSection"/>
    <tableColumn id="7" xr3:uid="{00000000-0010-0000-0400-000007000000}" name="OutputColumn"/>
    <tableColumn id="8" xr3:uid="{00000000-0010-0000-0400-000008000000}" name="VendorPayee"/>
    <tableColumn id="9" xr3:uid="{00000000-0010-0000-0400-000009000000}" name="Memo"/>
    <tableColumn id="10" xr3:uid="{00000000-0010-0000-0400-00000A000000}" name="SourceModule"/>
    <tableColumn id="11" xr3:uid="{00000000-0010-0000-0400-00000B000000}" name="JournalEntryNo"/>
    <tableColumn id="12" xr3:uid="{00000000-0010-0000-0400-00000C000000}" name="Debit"/>
    <tableColumn id="13" xr3:uid="{00000000-0010-0000-0400-00000D000000}" name="Credit"/>
    <tableColumn id="14" xr3:uid="{00000000-0010-0000-0400-00000E000000}" name="NetCashAmount"/>
    <tableColumn id="15" xr3:uid="{00000000-0010-0000-0400-00000F000000}" name="IncludeInPull"/>
    <tableColumn id="16" xr3:uid="{00000000-0010-0000-0400-000010000000}" name="Data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Validation_Recon" displayName="Validation_Recon" ref="A4:G8">
  <tableColumns count="7">
    <tableColumn id="1" xr3:uid="{00000000-0010-0000-0500-000001000000}" name="WeekEndingSunday"/>
    <tableColumn id="2" xr3:uid="{00000000-0010-0000-0500-000002000000}" name="Expected Statement CF"/>
    <tableColumn id="3" xr3:uid="{00000000-0010-0000-0500-000003000000}" name="Raw Pull Total"/>
    <tableColumn id="4" xr3:uid="{00000000-0010-0000-0500-000004000000}" name="Variance"/>
    <tableColumn id="5" xr3:uid="{00000000-0010-0000-0500-000005000000}" name="Variance %"/>
    <tableColumn id="6" xr3:uid="{00000000-0010-0000-0500-000006000000}" name="Status"/>
    <tableColumn id="7" xr3:uid="{00000000-0010-0000-05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sqref="A1:I1"/>
    </sheetView>
  </sheetViews>
  <sheetFormatPr defaultRowHeight="13.8"/>
  <cols>
    <col min="1" max="1" width="22" customWidth="1"/>
    <col min="2" max="2" width="72" customWidth="1"/>
  </cols>
  <sheetData>
    <row r="1" spans="1:9" ht="22.35" customHeight="1">
      <c r="A1" s="33" t="s">
        <v>0</v>
      </c>
      <c r="B1" s="34"/>
      <c r="C1" s="34"/>
      <c r="D1" s="34"/>
      <c r="E1" s="34"/>
      <c r="F1" s="34"/>
      <c r="G1" s="34"/>
      <c r="H1" s="34"/>
      <c r="I1" s="34"/>
    </row>
    <row r="2" spans="1:9" ht="22.35" customHeight="1">
      <c r="A2" s="35" t="s">
        <v>1</v>
      </c>
      <c r="B2" s="34"/>
      <c r="C2" s="34"/>
      <c r="D2" s="34"/>
      <c r="E2" s="34"/>
      <c r="F2" s="34"/>
      <c r="G2" s="34"/>
      <c r="H2" s="34"/>
      <c r="I2" s="34"/>
    </row>
    <row r="4" spans="1:9" ht="19.2" customHeight="1">
      <c r="A4" s="9" t="s">
        <v>2</v>
      </c>
      <c r="B4" s="10" t="s">
        <v>3</v>
      </c>
    </row>
    <row r="5" spans="1:9">
      <c r="A5" s="11" t="s">
        <v>4</v>
      </c>
      <c r="B5" s="6" t="s">
        <v>5</v>
      </c>
    </row>
    <row r="6" spans="1:9" ht="27.6">
      <c r="A6" s="11" t="s">
        <v>6</v>
      </c>
      <c r="B6" s="6" t="s">
        <v>7</v>
      </c>
    </row>
    <row r="7" spans="1:9">
      <c r="A7" s="11" t="s">
        <v>8</v>
      </c>
      <c r="B7" s="6" t="s">
        <v>9</v>
      </c>
    </row>
    <row r="8" spans="1:9">
      <c r="A8" s="11" t="s">
        <v>10</v>
      </c>
      <c r="B8" s="6" t="s">
        <v>11</v>
      </c>
    </row>
    <row r="9" spans="1:9" ht="27.6">
      <c r="A9" s="11" t="s">
        <v>12</v>
      </c>
      <c r="B9" s="6" t="s">
        <v>13</v>
      </c>
    </row>
    <row r="10" spans="1:9" ht="27.6">
      <c r="A10" s="11" t="s">
        <v>14</v>
      </c>
      <c r="B10" s="6" t="s">
        <v>15</v>
      </c>
    </row>
    <row r="11" spans="1:9">
      <c r="A11" s="12" t="s">
        <v>16</v>
      </c>
      <c r="B11" s="8" t="s">
        <v>17</v>
      </c>
    </row>
    <row r="13" spans="1:9" ht="17.55" customHeight="1">
      <c r="A13" s="36" t="s">
        <v>18</v>
      </c>
      <c r="B13" s="34"/>
      <c r="C13" s="34"/>
      <c r="D13" s="34"/>
      <c r="E13" s="34"/>
      <c r="F13" s="34"/>
      <c r="G13" s="34"/>
      <c r="H13" s="34"/>
      <c r="I13" s="34"/>
    </row>
    <row r="14" spans="1:9">
      <c r="A14" s="37" t="s">
        <v>19</v>
      </c>
      <c r="B14" s="34"/>
      <c r="C14" s="34"/>
      <c r="D14" s="34"/>
      <c r="E14" s="34"/>
      <c r="F14" s="34"/>
      <c r="G14" s="34"/>
      <c r="H14" s="34"/>
      <c r="I14" s="34"/>
    </row>
    <row r="15" spans="1:9">
      <c r="A15" s="34"/>
      <c r="B15" s="34"/>
      <c r="C15" s="34"/>
      <c r="D15" s="34"/>
      <c r="E15" s="34"/>
      <c r="F15" s="34"/>
      <c r="G15" s="34"/>
      <c r="H15" s="34"/>
      <c r="I15" s="34"/>
    </row>
    <row r="16" spans="1:9">
      <c r="A16" s="34"/>
      <c r="B16" s="34"/>
      <c r="C16" s="34"/>
      <c r="D16" s="34"/>
      <c r="E16" s="34"/>
      <c r="F16" s="34"/>
      <c r="G16" s="34"/>
      <c r="H16" s="34"/>
      <c r="I16" s="34"/>
    </row>
  </sheetData>
  <mergeCells count="4">
    <mergeCell ref="A1:I1"/>
    <mergeCell ref="A2:I2"/>
    <mergeCell ref="A13:I13"/>
    <mergeCell ref="A14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B7" sqref="B7"/>
    </sheetView>
  </sheetViews>
  <sheetFormatPr defaultRowHeight="13.8"/>
  <cols>
    <col min="1" max="1" width="18" customWidth="1"/>
    <col min="2" max="2" width="22" customWidth="1"/>
    <col min="3" max="3" width="14" customWidth="1"/>
    <col min="4" max="4" width="55" customWidth="1"/>
  </cols>
  <sheetData>
    <row r="1" spans="1:6" ht="22.35" customHeight="1">
      <c r="A1" s="38" t="s">
        <v>20</v>
      </c>
      <c r="B1" s="39"/>
      <c r="C1" s="39"/>
      <c r="D1" s="39"/>
      <c r="E1" s="34"/>
      <c r="F1" s="34"/>
    </row>
    <row r="2" spans="1:6" ht="22.35" customHeight="1">
      <c r="A2" s="35" t="s">
        <v>21</v>
      </c>
      <c r="B2" s="34"/>
      <c r="C2" s="34"/>
      <c r="D2" s="34"/>
      <c r="E2" s="34"/>
      <c r="F2" s="34"/>
    </row>
    <row r="4" spans="1:6" ht="19.2" customHeight="1">
      <c r="A4" s="9" t="s">
        <v>22</v>
      </c>
      <c r="B4" s="13" t="s">
        <v>23</v>
      </c>
      <c r="C4" s="13" t="s">
        <v>24</v>
      </c>
      <c r="D4" s="10" t="s">
        <v>25</v>
      </c>
    </row>
    <row r="5" spans="1:6">
      <c r="A5" s="14" t="s">
        <v>26</v>
      </c>
      <c r="B5" s="15">
        <v>46097</v>
      </c>
      <c r="C5" s="16" t="s">
        <v>27</v>
      </c>
      <c r="D5" s="17" t="s">
        <v>28</v>
      </c>
    </row>
    <row r="6" spans="1:6">
      <c r="A6" s="14" t="s">
        <v>29</v>
      </c>
      <c r="B6" s="15">
        <v>46124</v>
      </c>
      <c r="C6" s="16" t="s">
        <v>27</v>
      </c>
      <c r="D6" s="17" t="s">
        <v>30</v>
      </c>
    </row>
    <row r="7" spans="1:6">
      <c r="A7" s="14" t="s">
        <v>31</v>
      </c>
      <c r="B7" s="16" t="s">
        <v>32</v>
      </c>
      <c r="C7" s="16" t="s">
        <v>33</v>
      </c>
      <c r="D7" s="17" t="s">
        <v>34</v>
      </c>
    </row>
    <row r="8" spans="1:6">
      <c r="A8" s="14" t="s">
        <v>35</v>
      </c>
      <c r="B8" s="16" t="s">
        <v>187</v>
      </c>
      <c r="C8" s="16" t="s">
        <v>33</v>
      </c>
      <c r="D8" s="17" t="s">
        <v>36</v>
      </c>
    </row>
    <row r="9" spans="1:6">
      <c r="A9" s="18" t="s">
        <v>37</v>
      </c>
      <c r="B9" s="19" t="s">
        <v>38</v>
      </c>
      <c r="C9" s="19" t="s">
        <v>33</v>
      </c>
      <c r="D9" s="20" t="s">
        <v>39</v>
      </c>
    </row>
  </sheetData>
  <mergeCells count="2">
    <mergeCell ref="A1:F1"/>
    <mergeCell ref="A2:F2"/>
  </mergeCells>
  <dataValidations count="1">
    <dataValidation type="list" sqref="B8:B9" xr:uid="{00000000-0002-0000-0100-000000000000}">
      <formula1>"Full overwrite on refresh,Append for audit log"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workbookViewId="0">
      <selection sqref="A1:N1"/>
    </sheetView>
  </sheetViews>
  <sheetFormatPr defaultRowHeight="13.8"/>
  <cols>
    <col min="1" max="1" width="16" customWidth="1"/>
    <col min="2" max="3" width="18" customWidth="1"/>
    <col min="4" max="4" width="12" customWidth="1"/>
    <col min="5" max="5" width="22" customWidth="1"/>
    <col min="6" max="6" width="14" customWidth="1"/>
    <col min="7" max="7" width="24" customWidth="1"/>
    <col min="8" max="8" width="30" customWidth="1"/>
    <col min="9" max="9" width="14" customWidth="1"/>
    <col min="10" max="10" width="16" customWidth="1"/>
    <col min="11" max="13" width="13" customWidth="1"/>
    <col min="14" max="14" width="18" customWidth="1"/>
  </cols>
  <sheetData>
    <row r="1" spans="1:14" ht="22.35" customHeight="1">
      <c r="A1" s="38" t="s">
        <v>40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2.35" customHeight="1">
      <c r="A2" s="35" t="s">
        <v>41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4" spans="1:14" ht="19.2" customHeight="1">
      <c r="A4" s="9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0" t="s">
        <v>55</v>
      </c>
    </row>
    <row r="5" spans="1:14">
      <c r="A5" s="21">
        <v>46098</v>
      </c>
      <c r="B5" s="15">
        <v>46103</v>
      </c>
      <c r="C5" s="16" t="s">
        <v>32</v>
      </c>
      <c r="D5" s="16" t="s">
        <v>56</v>
      </c>
      <c r="E5" s="16" t="s">
        <v>57</v>
      </c>
      <c r="F5" s="16" t="s">
        <v>58</v>
      </c>
      <c r="G5" s="16" t="s">
        <v>59</v>
      </c>
      <c r="H5" s="16" t="s">
        <v>60</v>
      </c>
      <c r="I5" s="16" t="s">
        <v>61</v>
      </c>
      <c r="J5" s="16" t="s">
        <v>62</v>
      </c>
      <c r="K5" s="22">
        <v>38500</v>
      </c>
      <c r="L5" s="22">
        <v>0</v>
      </c>
      <c r="M5" s="23" t="b">
        <v>1</v>
      </c>
      <c r="N5" s="24" t="b">
        <v>1</v>
      </c>
    </row>
    <row r="6" spans="1:14">
      <c r="A6" s="21">
        <v>46100</v>
      </c>
      <c r="B6" s="15">
        <v>46103</v>
      </c>
      <c r="C6" s="16" t="s">
        <v>32</v>
      </c>
      <c r="D6" s="16" t="s">
        <v>56</v>
      </c>
      <c r="E6" s="16" t="s">
        <v>57</v>
      </c>
      <c r="F6" s="16" t="s">
        <v>58</v>
      </c>
      <c r="G6" s="16" t="s">
        <v>63</v>
      </c>
      <c r="H6" s="16" t="s">
        <v>64</v>
      </c>
      <c r="I6" s="16" t="s">
        <v>65</v>
      </c>
      <c r="J6" s="16" t="s">
        <v>66</v>
      </c>
      <c r="K6" s="22">
        <v>0</v>
      </c>
      <c r="L6" s="22">
        <v>14800</v>
      </c>
      <c r="M6" s="23" t="b">
        <v>1</v>
      </c>
      <c r="N6" s="24" t="b">
        <v>1</v>
      </c>
    </row>
    <row r="7" spans="1:14">
      <c r="A7" s="21">
        <v>46102</v>
      </c>
      <c r="B7" s="15">
        <v>46103</v>
      </c>
      <c r="C7" s="16" t="s">
        <v>32</v>
      </c>
      <c r="D7" s="16" t="s">
        <v>56</v>
      </c>
      <c r="E7" s="16" t="s">
        <v>57</v>
      </c>
      <c r="F7" s="16" t="s">
        <v>58</v>
      </c>
      <c r="G7" s="16" t="s">
        <v>67</v>
      </c>
      <c r="H7" s="16" t="s">
        <v>68</v>
      </c>
      <c r="I7" s="16" t="s">
        <v>65</v>
      </c>
      <c r="J7" s="16" t="s">
        <v>69</v>
      </c>
      <c r="K7" s="22">
        <v>0</v>
      </c>
      <c r="L7" s="22">
        <v>1650</v>
      </c>
      <c r="M7" s="23" t="b">
        <v>1</v>
      </c>
      <c r="N7" s="24" t="b">
        <v>1</v>
      </c>
    </row>
    <row r="8" spans="1:14">
      <c r="A8" s="21">
        <v>46103</v>
      </c>
      <c r="B8" s="15">
        <v>46103</v>
      </c>
      <c r="C8" s="16" t="s">
        <v>70</v>
      </c>
      <c r="D8" s="16" t="s">
        <v>56</v>
      </c>
      <c r="E8" s="16" t="s">
        <v>57</v>
      </c>
      <c r="F8" s="16" t="s">
        <v>58</v>
      </c>
      <c r="G8" s="16" t="s">
        <v>71</v>
      </c>
      <c r="H8" s="16" t="s">
        <v>72</v>
      </c>
      <c r="I8" s="16" t="s">
        <v>61</v>
      </c>
      <c r="J8" s="16" t="s">
        <v>73</v>
      </c>
      <c r="K8" s="22">
        <v>5000</v>
      </c>
      <c r="L8" s="22">
        <v>0</v>
      </c>
      <c r="M8" s="23" t="b">
        <v>1</v>
      </c>
      <c r="N8" s="24" t="b">
        <v>1</v>
      </c>
    </row>
    <row r="9" spans="1:14">
      <c r="A9" s="21">
        <v>46105</v>
      </c>
      <c r="B9" s="15">
        <v>46110</v>
      </c>
      <c r="C9" s="16" t="s">
        <v>32</v>
      </c>
      <c r="D9" s="16" t="s">
        <v>56</v>
      </c>
      <c r="E9" s="16" t="s">
        <v>57</v>
      </c>
      <c r="F9" s="16" t="s">
        <v>58</v>
      </c>
      <c r="G9" s="16" t="s">
        <v>59</v>
      </c>
      <c r="H9" s="16" t="s">
        <v>60</v>
      </c>
      <c r="I9" s="16" t="s">
        <v>61</v>
      </c>
      <c r="J9" s="16" t="s">
        <v>74</v>
      </c>
      <c r="K9" s="22">
        <v>41000</v>
      </c>
      <c r="L9" s="22">
        <v>0</v>
      </c>
      <c r="M9" s="23" t="b">
        <v>1</v>
      </c>
      <c r="N9" s="24" t="b">
        <v>1</v>
      </c>
    </row>
    <row r="10" spans="1:14">
      <c r="A10" s="21">
        <v>46106</v>
      </c>
      <c r="B10" s="15">
        <v>46110</v>
      </c>
      <c r="C10" s="16" t="s">
        <v>32</v>
      </c>
      <c r="D10" s="16" t="s">
        <v>56</v>
      </c>
      <c r="E10" s="16" t="s">
        <v>57</v>
      </c>
      <c r="F10" s="16" t="s">
        <v>58</v>
      </c>
      <c r="G10" s="16" t="s">
        <v>75</v>
      </c>
      <c r="H10" s="16" t="s">
        <v>76</v>
      </c>
      <c r="I10" s="16" t="s">
        <v>65</v>
      </c>
      <c r="J10" s="16" t="s">
        <v>77</v>
      </c>
      <c r="K10" s="22">
        <v>0</v>
      </c>
      <c r="L10" s="22">
        <v>13600</v>
      </c>
      <c r="M10" s="23" t="b">
        <v>1</v>
      </c>
      <c r="N10" s="24" t="b">
        <v>1</v>
      </c>
    </row>
    <row r="11" spans="1:14">
      <c r="A11" s="21">
        <v>46108</v>
      </c>
      <c r="B11" s="15">
        <v>46110</v>
      </c>
      <c r="C11" s="16" t="s">
        <v>32</v>
      </c>
      <c r="D11" s="16" t="s">
        <v>56</v>
      </c>
      <c r="E11" s="16" t="s">
        <v>57</v>
      </c>
      <c r="F11" s="16" t="s">
        <v>58</v>
      </c>
      <c r="G11" s="16" t="s">
        <v>63</v>
      </c>
      <c r="H11" s="16" t="s">
        <v>64</v>
      </c>
      <c r="I11" s="16" t="s">
        <v>65</v>
      </c>
      <c r="J11" s="16" t="s">
        <v>78</v>
      </c>
      <c r="K11" s="22">
        <v>0</v>
      </c>
      <c r="L11" s="22">
        <v>9700</v>
      </c>
      <c r="M11" s="23" t="b">
        <v>1</v>
      </c>
      <c r="N11" s="24" t="b">
        <v>1</v>
      </c>
    </row>
    <row r="12" spans="1:14">
      <c r="A12" s="21">
        <v>46109</v>
      </c>
      <c r="B12" s="15">
        <v>46110</v>
      </c>
      <c r="C12" s="16" t="s">
        <v>32</v>
      </c>
      <c r="D12" s="16" t="s">
        <v>79</v>
      </c>
      <c r="E12" s="16" t="s">
        <v>80</v>
      </c>
      <c r="F12" s="16" t="s">
        <v>58</v>
      </c>
      <c r="G12" s="16" t="s">
        <v>81</v>
      </c>
      <c r="H12" s="16" t="s">
        <v>82</v>
      </c>
      <c r="I12" s="16" t="s">
        <v>83</v>
      </c>
      <c r="J12" s="16" t="s">
        <v>84</v>
      </c>
      <c r="K12" s="22">
        <v>2500</v>
      </c>
      <c r="L12" s="22">
        <v>0</v>
      </c>
      <c r="M12" s="23" t="b">
        <v>0</v>
      </c>
      <c r="N12" s="24" t="b">
        <v>0</v>
      </c>
    </row>
    <row r="13" spans="1:14">
      <c r="A13" s="21">
        <v>46112</v>
      </c>
      <c r="B13" s="15">
        <v>46117</v>
      </c>
      <c r="C13" s="16" t="s">
        <v>32</v>
      </c>
      <c r="D13" s="16" t="s">
        <v>56</v>
      </c>
      <c r="E13" s="16" t="s">
        <v>57</v>
      </c>
      <c r="F13" s="16" t="s">
        <v>58</v>
      </c>
      <c r="G13" s="16" t="s">
        <v>59</v>
      </c>
      <c r="H13" s="16" t="s">
        <v>60</v>
      </c>
      <c r="I13" s="16" t="s">
        <v>61</v>
      </c>
      <c r="J13" s="16" t="s">
        <v>85</v>
      </c>
      <c r="K13" s="22">
        <v>44200</v>
      </c>
      <c r="L13" s="22">
        <v>0</v>
      </c>
      <c r="M13" s="23" t="b">
        <v>1</v>
      </c>
      <c r="N13" s="24" t="b">
        <v>1</v>
      </c>
    </row>
    <row r="14" spans="1:14">
      <c r="A14" s="21">
        <v>46114</v>
      </c>
      <c r="B14" s="15">
        <v>46117</v>
      </c>
      <c r="C14" s="16" t="s">
        <v>32</v>
      </c>
      <c r="D14" s="16" t="s">
        <v>56</v>
      </c>
      <c r="E14" s="16" t="s">
        <v>57</v>
      </c>
      <c r="F14" s="16" t="s">
        <v>58</v>
      </c>
      <c r="G14" s="16" t="s">
        <v>63</v>
      </c>
      <c r="H14" s="16" t="s">
        <v>64</v>
      </c>
      <c r="I14" s="16" t="s">
        <v>65</v>
      </c>
      <c r="J14" s="16" t="s">
        <v>86</v>
      </c>
      <c r="K14" s="22">
        <v>0</v>
      </c>
      <c r="L14" s="22">
        <v>15500</v>
      </c>
      <c r="M14" s="23" t="b">
        <v>1</v>
      </c>
      <c r="N14" s="24" t="b">
        <v>1</v>
      </c>
    </row>
    <row r="15" spans="1:14">
      <c r="A15" s="21">
        <v>46115</v>
      </c>
      <c r="B15" s="15">
        <v>46117</v>
      </c>
      <c r="C15" s="16" t="s">
        <v>32</v>
      </c>
      <c r="D15" s="16" t="s">
        <v>56</v>
      </c>
      <c r="E15" s="16" t="s">
        <v>57</v>
      </c>
      <c r="F15" s="16" t="s">
        <v>58</v>
      </c>
      <c r="G15" s="16" t="s">
        <v>87</v>
      </c>
      <c r="H15" s="16" t="s">
        <v>88</v>
      </c>
      <c r="I15" s="16" t="s">
        <v>65</v>
      </c>
      <c r="J15" s="16" t="s">
        <v>89</v>
      </c>
      <c r="K15" s="22">
        <v>0</v>
      </c>
      <c r="L15" s="22">
        <v>2200</v>
      </c>
      <c r="M15" s="23" t="b">
        <v>1</v>
      </c>
      <c r="N15" s="24" t="b">
        <v>1</v>
      </c>
    </row>
    <row r="16" spans="1:14">
      <c r="A16" s="21">
        <v>46117</v>
      </c>
      <c r="B16" s="15">
        <v>46117</v>
      </c>
      <c r="C16" s="16" t="s">
        <v>32</v>
      </c>
      <c r="D16" s="16" t="s">
        <v>56</v>
      </c>
      <c r="E16" s="16" t="s">
        <v>57</v>
      </c>
      <c r="F16" s="16" t="s">
        <v>58</v>
      </c>
      <c r="G16" s="16" t="s">
        <v>90</v>
      </c>
      <c r="H16" s="16" t="s">
        <v>91</v>
      </c>
      <c r="I16" s="16" t="s">
        <v>92</v>
      </c>
      <c r="J16" s="16" t="s">
        <v>93</v>
      </c>
      <c r="K16" s="22">
        <v>3000</v>
      </c>
      <c r="L16" s="22">
        <v>0</v>
      </c>
      <c r="M16" s="23" t="b">
        <v>1</v>
      </c>
      <c r="N16" s="24" t="b">
        <v>0</v>
      </c>
    </row>
    <row r="17" spans="1:14">
      <c r="A17" s="21">
        <v>46119</v>
      </c>
      <c r="B17" s="15">
        <v>46124</v>
      </c>
      <c r="C17" s="16" t="s">
        <v>32</v>
      </c>
      <c r="D17" s="16" t="s">
        <v>56</v>
      </c>
      <c r="E17" s="16" t="s">
        <v>57</v>
      </c>
      <c r="F17" s="16" t="s">
        <v>58</v>
      </c>
      <c r="G17" s="16" t="s">
        <v>59</v>
      </c>
      <c r="H17" s="16" t="s">
        <v>60</v>
      </c>
      <c r="I17" s="16" t="s">
        <v>61</v>
      </c>
      <c r="J17" s="16" t="s">
        <v>94</v>
      </c>
      <c r="K17" s="22">
        <v>42800</v>
      </c>
      <c r="L17" s="22">
        <v>0</v>
      </c>
      <c r="M17" s="23" t="b">
        <v>1</v>
      </c>
      <c r="N17" s="24" t="b">
        <v>1</v>
      </c>
    </row>
    <row r="18" spans="1:14">
      <c r="A18" s="21">
        <v>46121</v>
      </c>
      <c r="B18" s="15">
        <v>46124</v>
      </c>
      <c r="C18" s="16" t="s">
        <v>32</v>
      </c>
      <c r="D18" s="16" t="s">
        <v>56</v>
      </c>
      <c r="E18" s="16" t="s">
        <v>57</v>
      </c>
      <c r="F18" s="16" t="s">
        <v>58</v>
      </c>
      <c r="G18" s="16" t="s">
        <v>75</v>
      </c>
      <c r="H18" s="16" t="s">
        <v>76</v>
      </c>
      <c r="I18" s="16" t="s">
        <v>65</v>
      </c>
      <c r="J18" s="16" t="s">
        <v>95</v>
      </c>
      <c r="K18" s="22">
        <v>0</v>
      </c>
      <c r="L18" s="22">
        <v>16100</v>
      </c>
      <c r="M18" s="23" t="b">
        <v>1</v>
      </c>
      <c r="N18" s="24" t="b">
        <v>1</v>
      </c>
    </row>
    <row r="19" spans="1:14">
      <c r="A19" s="21">
        <v>46123</v>
      </c>
      <c r="B19" s="15">
        <v>46124</v>
      </c>
      <c r="C19" s="16" t="s">
        <v>32</v>
      </c>
      <c r="D19" s="16" t="s">
        <v>56</v>
      </c>
      <c r="E19" s="16" t="s">
        <v>57</v>
      </c>
      <c r="F19" s="16" t="s">
        <v>58</v>
      </c>
      <c r="G19" s="16" t="s">
        <v>63</v>
      </c>
      <c r="H19" s="16" t="s">
        <v>64</v>
      </c>
      <c r="I19" s="16" t="s">
        <v>65</v>
      </c>
      <c r="J19" s="16" t="s">
        <v>96</v>
      </c>
      <c r="K19" s="22">
        <v>0</v>
      </c>
      <c r="L19" s="22">
        <v>11650</v>
      </c>
      <c r="M19" s="23" t="b">
        <v>1</v>
      </c>
      <c r="N19" s="24" t="b">
        <v>1</v>
      </c>
    </row>
    <row r="20" spans="1:14">
      <c r="A20" s="25">
        <v>46124</v>
      </c>
      <c r="B20" s="26">
        <v>46124</v>
      </c>
      <c r="C20" s="19" t="s">
        <v>32</v>
      </c>
      <c r="D20" s="19" t="s">
        <v>97</v>
      </c>
      <c r="E20" s="19" t="s">
        <v>98</v>
      </c>
      <c r="F20" s="19" t="s">
        <v>58</v>
      </c>
      <c r="G20" s="19" t="s">
        <v>81</v>
      </c>
      <c r="H20" s="19" t="s">
        <v>99</v>
      </c>
      <c r="I20" s="19" t="s">
        <v>83</v>
      </c>
      <c r="J20" s="19" t="s">
        <v>100</v>
      </c>
      <c r="K20" s="27">
        <v>0</v>
      </c>
      <c r="L20" s="27">
        <v>880</v>
      </c>
      <c r="M20" s="28" t="b">
        <v>0</v>
      </c>
      <c r="N20" s="29" t="b">
        <v>0</v>
      </c>
    </row>
    <row r="21" spans="1:14">
      <c r="A21" s="1"/>
      <c r="B21" s="1"/>
      <c r="K21" s="2"/>
      <c r="L21" s="2"/>
    </row>
    <row r="22" spans="1:14">
      <c r="A22" s="1"/>
      <c r="B22" s="1"/>
      <c r="K22" s="2"/>
      <c r="L22" s="2"/>
    </row>
    <row r="23" spans="1:14">
      <c r="A23" s="1"/>
      <c r="B23" s="1"/>
      <c r="K23" s="2"/>
      <c r="L23" s="2"/>
    </row>
    <row r="24" spans="1:14">
      <c r="A24" s="1"/>
      <c r="B24" s="1"/>
      <c r="K24" s="2"/>
      <c r="L24" s="2"/>
    </row>
    <row r="25" spans="1:14">
      <c r="A25" s="1"/>
      <c r="B25" s="1"/>
      <c r="K25" s="2"/>
      <c r="L25" s="2"/>
    </row>
    <row r="26" spans="1:14">
      <c r="A26" s="1"/>
      <c r="B26" s="1"/>
      <c r="K26" s="2"/>
      <c r="L26" s="2"/>
    </row>
    <row r="27" spans="1:14">
      <c r="A27" s="1"/>
      <c r="B27" s="1"/>
      <c r="K27" s="2"/>
      <c r="L27" s="2"/>
    </row>
    <row r="28" spans="1:14">
      <c r="A28" s="1"/>
      <c r="B28" s="1"/>
      <c r="K28" s="2"/>
      <c r="L28" s="2"/>
    </row>
    <row r="29" spans="1:14">
      <c r="A29" s="1"/>
      <c r="B29" s="1"/>
      <c r="K29" s="2"/>
      <c r="L29" s="2"/>
    </row>
    <row r="30" spans="1:14">
      <c r="A30" s="1"/>
      <c r="B30" s="1"/>
      <c r="K30" s="2"/>
      <c r="L30" s="2"/>
    </row>
    <row r="31" spans="1:14">
      <c r="A31" s="1"/>
      <c r="B31" s="1"/>
      <c r="K31" s="2"/>
      <c r="L31" s="2"/>
    </row>
    <row r="32" spans="1:14">
      <c r="A32" s="1"/>
      <c r="B32" s="1"/>
      <c r="K32" s="2"/>
      <c r="L32" s="2"/>
    </row>
    <row r="33" spans="1:12">
      <c r="A33" s="1"/>
      <c r="B33" s="1"/>
      <c r="K33" s="2"/>
      <c r="L33" s="2"/>
    </row>
    <row r="34" spans="1:12">
      <c r="A34" s="1"/>
      <c r="B34" s="1"/>
      <c r="K34" s="2"/>
      <c r="L34" s="2"/>
    </row>
    <row r="35" spans="1:12">
      <c r="A35" s="1"/>
      <c r="B35" s="1"/>
      <c r="K35" s="2"/>
      <c r="L35" s="2"/>
    </row>
    <row r="36" spans="1:12">
      <c r="A36" s="1"/>
      <c r="B36" s="1"/>
      <c r="K36" s="2"/>
      <c r="L36" s="2"/>
    </row>
    <row r="37" spans="1:12">
      <c r="A37" s="1"/>
      <c r="B37" s="1"/>
      <c r="K37" s="2"/>
      <c r="L37" s="2"/>
    </row>
    <row r="38" spans="1:12">
      <c r="A38" s="1"/>
      <c r="B38" s="1"/>
      <c r="K38" s="2"/>
      <c r="L38" s="2"/>
    </row>
    <row r="39" spans="1:12">
      <c r="A39" s="1"/>
      <c r="B39" s="1"/>
      <c r="K39" s="2"/>
      <c r="L39" s="2"/>
    </row>
    <row r="40" spans="1:12">
      <c r="A40" s="1"/>
      <c r="B40" s="1"/>
      <c r="K40" s="2"/>
      <c r="L40" s="2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sqref="A1:G1"/>
    </sheetView>
  </sheetViews>
  <sheetFormatPr defaultRowHeight="13.8"/>
  <cols>
    <col min="1" max="1" width="12" customWidth="1"/>
    <col min="2" max="2" width="24" customWidth="1"/>
    <col min="3" max="3" width="18" customWidth="1"/>
    <col min="4" max="4" width="26" customWidth="1"/>
    <col min="5" max="5" width="28" customWidth="1"/>
    <col min="6" max="6" width="14" customWidth="1"/>
    <col min="7" max="7" width="52" customWidth="1"/>
  </cols>
  <sheetData>
    <row r="1" spans="1:7" ht="22.35" customHeight="1">
      <c r="A1" s="38" t="s">
        <v>101</v>
      </c>
      <c r="B1" s="39"/>
      <c r="C1" s="39"/>
      <c r="D1" s="39"/>
      <c r="E1" s="39"/>
      <c r="F1" s="39"/>
      <c r="G1" s="39"/>
    </row>
    <row r="2" spans="1:7" ht="22.35" customHeight="1">
      <c r="A2" s="35" t="s">
        <v>102</v>
      </c>
      <c r="B2" s="34"/>
      <c r="C2" s="34"/>
      <c r="D2" s="34"/>
      <c r="E2" s="34"/>
      <c r="F2" s="34"/>
      <c r="G2" s="34"/>
    </row>
    <row r="4" spans="1:7" ht="19.2" customHeight="1">
      <c r="A4" s="9" t="s">
        <v>45</v>
      </c>
      <c r="B4" s="13" t="s">
        <v>46</v>
      </c>
      <c r="C4" s="13" t="s">
        <v>103</v>
      </c>
      <c r="D4" s="13" t="s">
        <v>104</v>
      </c>
      <c r="E4" s="13" t="s">
        <v>105</v>
      </c>
      <c r="F4" s="13" t="s">
        <v>106</v>
      </c>
      <c r="G4" s="10" t="s">
        <v>25</v>
      </c>
    </row>
    <row r="5" spans="1:7">
      <c r="A5" s="14" t="s">
        <v>56</v>
      </c>
      <c r="B5" s="16" t="s">
        <v>57</v>
      </c>
      <c r="C5" s="16" t="s">
        <v>107</v>
      </c>
      <c r="D5" s="16" t="s">
        <v>108</v>
      </c>
      <c r="E5" s="16" t="s">
        <v>109</v>
      </c>
      <c r="F5" s="16" t="s">
        <v>110</v>
      </c>
      <c r="G5" s="17" t="s">
        <v>111</v>
      </c>
    </row>
    <row r="6" spans="1:7">
      <c r="A6" s="14" t="s">
        <v>112</v>
      </c>
      <c r="B6" s="16" t="s">
        <v>113</v>
      </c>
      <c r="C6" s="16" t="s">
        <v>114</v>
      </c>
      <c r="D6" s="16" t="s">
        <v>115</v>
      </c>
      <c r="E6" s="16" t="s">
        <v>116</v>
      </c>
      <c r="F6" s="16" t="s">
        <v>110</v>
      </c>
      <c r="G6" s="17" t="s">
        <v>117</v>
      </c>
    </row>
    <row r="7" spans="1:7">
      <c r="A7" s="14" t="s">
        <v>118</v>
      </c>
      <c r="B7" s="16" t="s">
        <v>119</v>
      </c>
      <c r="C7" s="16" t="s">
        <v>114</v>
      </c>
      <c r="D7" s="16" t="s">
        <v>120</v>
      </c>
      <c r="E7" s="16" t="s">
        <v>121</v>
      </c>
      <c r="F7" s="16" t="s">
        <v>110</v>
      </c>
      <c r="G7" s="17" t="s">
        <v>122</v>
      </c>
    </row>
    <row r="8" spans="1:7">
      <c r="A8" s="14" t="s">
        <v>123</v>
      </c>
      <c r="B8" s="16" t="s">
        <v>124</v>
      </c>
      <c r="C8" s="16" t="s">
        <v>114</v>
      </c>
      <c r="D8" s="16" t="s">
        <v>125</v>
      </c>
      <c r="E8" s="16" t="s">
        <v>121</v>
      </c>
      <c r="F8" s="16" t="s">
        <v>110</v>
      </c>
      <c r="G8" s="17" t="s">
        <v>126</v>
      </c>
    </row>
    <row r="9" spans="1:7">
      <c r="A9" s="14" t="s">
        <v>127</v>
      </c>
      <c r="B9" s="16" t="s">
        <v>128</v>
      </c>
      <c r="C9" s="16" t="s">
        <v>114</v>
      </c>
      <c r="D9" s="16" t="s">
        <v>129</v>
      </c>
      <c r="E9" s="16" t="s">
        <v>121</v>
      </c>
      <c r="F9" s="16" t="s">
        <v>110</v>
      </c>
      <c r="G9" s="17" t="s">
        <v>130</v>
      </c>
    </row>
    <row r="10" spans="1:7">
      <c r="A10" s="14" t="s">
        <v>79</v>
      </c>
      <c r="B10" s="16" t="s">
        <v>80</v>
      </c>
      <c r="C10" s="16" t="s">
        <v>131</v>
      </c>
      <c r="D10" s="16" t="s">
        <v>132</v>
      </c>
      <c r="E10" s="16" t="s">
        <v>133</v>
      </c>
      <c r="F10" s="16" t="s">
        <v>134</v>
      </c>
      <c r="G10" s="17" t="s">
        <v>135</v>
      </c>
    </row>
    <row r="11" spans="1:7">
      <c r="A11" s="18" t="s">
        <v>97</v>
      </c>
      <c r="B11" s="19" t="s">
        <v>98</v>
      </c>
      <c r="C11" s="19" t="s">
        <v>131</v>
      </c>
      <c r="D11" s="19" t="s">
        <v>132</v>
      </c>
      <c r="E11" s="19" t="s">
        <v>133</v>
      </c>
      <c r="F11" s="19" t="s">
        <v>134</v>
      </c>
      <c r="G11" s="20" t="s">
        <v>136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"/>
    </sheetView>
  </sheetViews>
  <sheetFormatPr defaultRowHeight="13.8"/>
  <cols>
    <col min="1" max="1" width="10" customWidth="1"/>
    <col min="2" max="2" width="32" customWidth="1"/>
    <col min="3" max="3" width="54" customWidth="1"/>
    <col min="4" max="4" width="38" customWidth="1"/>
  </cols>
  <sheetData>
    <row r="1" spans="1:6" ht="22.35" customHeight="1">
      <c r="A1" s="38" t="s">
        <v>137</v>
      </c>
      <c r="B1" s="39"/>
      <c r="C1" s="39"/>
      <c r="D1" s="39"/>
      <c r="E1" s="34"/>
      <c r="F1" s="34"/>
    </row>
    <row r="2" spans="1:6" ht="22.35" customHeight="1">
      <c r="A2" s="35" t="s">
        <v>138</v>
      </c>
      <c r="B2" s="34"/>
      <c r="C2" s="34"/>
      <c r="D2" s="34"/>
      <c r="E2" s="34"/>
      <c r="F2" s="34"/>
    </row>
    <row r="4" spans="1:6" ht="19.2" customHeight="1">
      <c r="A4" s="9" t="s">
        <v>139</v>
      </c>
      <c r="B4" s="13" t="s">
        <v>140</v>
      </c>
      <c r="C4" s="13" t="s">
        <v>141</v>
      </c>
      <c r="D4" s="10" t="s">
        <v>142</v>
      </c>
    </row>
    <row r="5" spans="1:6">
      <c r="A5" s="14" t="s">
        <v>143</v>
      </c>
      <c r="B5" s="16" t="s">
        <v>144</v>
      </c>
      <c r="C5" s="16" t="s">
        <v>145</v>
      </c>
      <c r="D5" s="17" t="s">
        <v>146</v>
      </c>
    </row>
    <row r="6" spans="1:6">
      <c r="A6" s="14" t="s">
        <v>147</v>
      </c>
      <c r="B6" s="16" t="s">
        <v>148</v>
      </c>
      <c r="C6" s="16" t="s">
        <v>149</v>
      </c>
      <c r="D6" s="17" t="s">
        <v>150</v>
      </c>
    </row>
    <row r="7" spans="1:6">
      <c r="A7" s="14" t="s">
        <v>151</v>
      </c>
      <c r="B7" s="16" t="s">
        <v>152</v>
      </c>
      <c r="C7" s="16" t="s">
        <v>153</v>
      </c>
      <c r="D7" s="17" t="s">
        <v>154</v>
      </c>
    </row>
    <row r="8" spans="1:6">
      <c r="A8" s="14" t="s">
        <v>155</v>
      </c>
      <c r="B8" s="16" t="s">
        <v>156</v>
      </c>
      <c r="C8" s="16" t="s">
        <v>157</v>
      </c>
      <c r="D8" s="17" t="s">
        <v>158</v>
      </c>
    </row>
    <row r="9" spans="1:6">
      <c r="A9" s="14" t="s">
        <v>159</v>
      </c>
      <c r="B9" s="16" t="s">
        <v>160</v>
      </c>
      <c r="C9" s="16" t="s">
        <v>161</v>
      </c>
      <c r="D9" s="17" t="s">
        <v>162</v>
      </c>
    </row>
    <row r="10" spans="1:6">
      <c r="A10" s="18" t="s">
        <v>163</v>
      </c>
      <c r="B10" s="19" t="s">
        <v>164</v>
      </c>
      <c r="C10" s="19" t="s">
        <v>165</v>
      </c>
      <c r="D10" s="20" t="s">
        <v>166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0"/>
  <sheetViews>
    <sheetView workbookViewId="0">
      <selection sqref="A1:P1"/>
    </sheetView>
  </sheetViews>
  <sheetFormatPr defaultRowHeight="13.8"/>
  <cols>
    <col min="1" max="2" width="18" customWidth="1"/>
    <col min="3" max="3" width="16" customWidth="1"/>
    <col min="4" max="4" width="12" customWidth="1"/>
    <col min="5" max="5" width="20" customWidth="1"/>
    <col min="6" max="6" width="18" customWidth="1"/>
    <col min="7" max="8" width="24" customWidth="1"/>
    <col min="9" max="9" width="30" customWidth="1"/>
    <col min="10" max="10" width="14" customWidth="1"/>
    <col min="11" max="11" width="16" customWidth="1"/>
    <col min="12" max="13" width="13" customWidth="1"/>
    <col min="14" max="14" width="16" customWidth="1"/>
    <col min="15" max="15" width="14" customWidth="1"/>
    <col min="16" max="16" width="28" customWidth="1"/>
  </cols>
  <sheetData>
    <row r="1" spans="1:16" ht="22.35" customHeight="1">
      <c r="A1" s="38" t="s">
        <v>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22.35" customHeight="1">
      <c r="A2" s="35" t="s">
        <v>167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16" ht="19.2" customHeight="1">
      <c r="A4" s="9" t="s">
        <v>44</v>
      </c>
      <c r="B4" s="13" t="s">
        <v>43</v>
      </c>
      <c r="C4" s="13" t="s">
        <v>42</v>
      </c>
      <c r="D4" s="13" t="s">
        <v>45</v>
      </c>
      <c r="E4" s="13" t="s">
        <v>46</v>
      </c>
      <c r="F4" s="13" t="s">
        <v>103</v>
      </c>
      <c r="G4" s="13" t="s">
        <v>104</v>
      </c>
      <c r="H4" s="13" t="s">
        <v>48</v>
      </c>
      <c r="I4" s="13" t="s">
        <v>49</v>
      </c>
      <c r="J4" s="13" t="s">
        <v>50</v>
      </c>
      <c r="K4" s="13" t="s">
        <v>51</v>
      </c>
      <c r="L4" s="13" t="s">
        <v>52</v>
      </c>
      <c r="M4" s="13" t="s">
        <v>53</v>
      </c>
      <c r="N4" s="13" t="s">
        <v>168</v>
      </c>
      <c r="O4" s="13" t="s">
        <v>169</v>
      </c>
      <c r="P4" s="10" t="s">
        <v>170</v>
      </c>
    </row>
    <row r="5" spans="1:16">
      <c r="A5" s="14" t="s">
        <v>32</v>
      </c>
      <c r="B5" s="15">
        <v>46103</v>
      </c>
      <c r="C5" s="15">
        <v>46098</v>
      </c>
      <c r="D5" s="16" t="s">
        <v>56</v>
      </c>
      <c r="E5" s="16" t="s">
        <v>57</v>
      </c>
      <c r="F5" s="16" t="s">
        <v>107</v>
      </c>
      <c r="G5" s="16" t="s">
        <v>108</v>
      </c>
      <c r="H5" s="16" t="s">
        <v>59</v>
      </c>
      <c r="I5" s="16" t="s">
        <v>60</v>
      </c>
      <c r="J5" s="16" t="s">
        <v>61</v>
      </c>
      <c r="K5" s="16" t="s">
        <v>62</v>
      </c>
      <c r="L5" s="22">
        <v>38500</v>
      </c>
      <c r="M5" s="22">
        <v>0</v>
      </c>
      <c r="N5" s="22">
        <v>38500</v>
      </c>
      <c r="O5" s="23" t="b">
        <v>1</v>
      </c>
      <c r="P5" s="17" t="s">
        <v>171</v>
      </c>
    </row>
    <row r="6" spans="1:16">
      <c r="A6" s="14" t="s">
        <v>32</v>
      </c>
      <c r="B6" s="15">
        <v>46103</v>
      </c>
      <c r="C6" s="15">
        <v>46100</v>
      </c>
      <c r="D6" s="16" t="s">
        <v>56</v>
      </c>
      <c r="E6" s="16" t="s">
        <v>57</v>
      </c>
      <c r="F6" s="16" t="s">
        <v>107</v>
      </c>
      <c r="G6" s="16" t="s">
        <v>108</v>
      </c>
      <c r="H6" s="16" t="s">
        <v>63</v>
      </c>
      <c r="I6" s="16" t="s">
        <v>64</v>
      </c>
      <c r="J6" s="16" t="s">
        <v>65</v>
      </c>
      <c r="K6" s="16" t="s">
        <v>66</v>
      </c>
      <c r="L6" s="22">
        <v>0</v>
      </c>
      <c r="M6" s="22">
        <v>14800</v>
      </c>
      <c r="N6" s="22">
        <v>-14800</v>
      </c>
      <c r="O6" s="23" t="b">
        <v>1</v>
      </c>
      <c r="P6" s="17" t="s">
        <v>171</v>
      </c>
    </row>
    <row r="7" spans="1:16">
      <c r="A7" s="14" t="s">
        <v>32</v>
      </c>
      <c r="B7" s="15">
        <v>46103</v>
      </c>
      <c r="C7" s="15">
        <v>46102</v>
      </c>
      <c r="D7" s="16" t="s">
        <v>56</v>
      </c>
      <c r="E7" s="16" t="s">
        <v>57</v>
      </c>
      <c r="F7" s="16" t="s">
        <v>107</v>
      </c>
      <c r="G7" s="16" t="s">
        <v>108</v>
      </c>
      <c r="H7" s="16" t="s">
        <v>67</v>
      </c>
      <c r="I7" s="16" t="s">
        <v>68</v>
      </c>
      <c r="J7" s="16" t="s">
        <v>65</v>
      </c>
      <c r="K7" s="16" t="s">
        <v>69</v>
      </c>
      <c r="L7" s="22">
        <v>0</v>
      </c>
      <c r="M7" s="22">
        <v>1650</v>
      </c>
      <c r="N7" s="22">
        <v>-1650</v>
      </c>
      <c r="O7" s="23" t="b">
        <v>1</v>
      </c>
      <c r="P7" s="17" t="s">
        <v>171</v>
      </c>
    </row>
    <row r="8" spans="1:16">
      <c r="A8" s="14" t="s">
        <v>32</v>
      </c>
      <c r="B8" s="15">
        <v>46110</v>
      </c>
      <c r="C8" s="15">
        <v>46105</v>
      </c>
      <c r="D8" s="16" t="s">
        <v>56</v>
      </c>
      <c r="E8" s="16" t="s">
        <v>57</v>
      </c>
      <c r="F8" s="16" t="s">
        <v>107</v>
      </c>
      <c r="G8" s="16" t="s">
        <v>108</v>
      </c>
      <c r="H8" s="16" t="s">
        <v>59</v>
      </c>
      <c r="I8" s="16" t="s">
        <v>60</v>
      </c>
      <c r="J8" s="16" t="s">
        <v>61</v>
      </c>
      <c r="K8" s="16" t="s">
        <v>74</v>
      </c>
      <c r="L8" s="22">
        <v>41000</v>
      </c>
      <c r="M8" s="22">
        <v>0</v>
      </c>
      <c r="N8" s="22">
        <v>41000</v>
      </c>
      <c r="O8" s="23" t="b">
        <v>1</v>
      </c>
      <c r="P8" s="17" t="s">
        <v>171</v>
      </c>
    </row>
    <row r="9" spans="1:16">
      <c r="A9" s="14" t="s">
        <v>32</v>
      </c>
      <c r="B9" s="15">
        <v>46110</v>
      </c>
      <c r="C9" s="15">
        <v>46106</v>
      </c>
      <c r="D9" s="16" t="s">
        <v>56</v>
      </c>
      <c r="E9" s="16" t="s">
        <v>57</v>
      </c>
      <c r="F9" s="16" t="s">
        <v>107</v>
      </c>
      <c r="G9" s="16" t="s">
        <v>108</v>
      </c>
      <c r="H9" s="16" t="s">
        <v>75</v>
      </c>
      <c r="I9" s="16" t="s">
        <v>76</v>
      </c>
      <c r="J9" s="16" t="s">
        <v>65</v>
      </c>
      <c r="K9" s="16" t="s">
        <v>77</v>
      </c>
      <c r="L9" s="22">
        <v>0</v>
      </c>
      <c r="M9" s="22">
        <v>13600</v>
      </c>
      <c r="N9" s="22">
        <v>-13600</v>
      </c>
      <c r="O9" s="23" t="b">
        <v>1</v>
      </c>
      <c r="P9" s="17" t="s">
        <v>171</v>
      </c>
    </row>
    <row r="10" spans="1:16">
      <c r="A10" s="14" t="s">
        <v>32</v>
      </c>
      <c r="B10" s="15">
        <v>46110</v>
      </c>
      <c r="C10" s="15">
        <v>46108</v>
      </c>
      <c r="D10" s="16" t="s">
        <v>56</v>
      </c>
      <c r="E10" s="16" t="s">
        <v>57</v>
      </c>
      <c r="F10" s="16" t="s">
        <v>107</v>
      </c>
      <c r="G10" s="16" t="s">
        <v>108</v>
      </c>
      <c r="H10" s="16" t="s">
        <v>63</v>
      </c>
      <c r="I10" s="16" t="s">
        <v>64</v>
      </c>
      <c r="J10" s="16" t="s">
        <v>65</v>
      </c>
      <c r="K10" s="16" t="s">
        <v>78</v>
      </c>
      <c r="L10" s="22">
        <v>0</v>
      </c>
      <c r="M10" s="22">
        <v>9700</v>
      </c>
      <c r="N10" s="22">
        <v>-9700</v>
      </c>
      <c r="O10" s="23" t="b">
        <v>1</v>
      </c>
      <c r="P10" s="17" t="s">
        <v>171</v>
      </c>
    </row>
    <row r="11" spans="1:16">
      <c r="A11" s="14" t="s">
        <v>32</v>
      </c>
      <c r="B11" s="15">
        <v>46117</v>
      </c>
      <c r="C11" s="15">
        <v>46112</v>
      </c>
      <c r="D11" s="16" t="s">
        <v>56</v>
      </c>
      <c r="E11" s="16" t="s">
        <v>57</v>
      </c>
      <c r="F11" s="16" t="s">
        <v>107</v>
      </c>
      <c r="G11" s="16" t="s">
        <v>108</v>
      </c>
      <c r="H11" s="16" t="s">
        <v>59</v>
      </c>
      <c r="I11" s="16" t="s">
        <v>60</v>
      </c>
      <c r="J11" s="16" t="s">
        <v>61</v>
      </c>
      <c r="K11" s="16" t="s">
        <v>85</v>
      </c>
      <c r="L11" s="22">
        <v>44200</v>
      </c>
      <c r="M11" s="22">
        <v>0</v>
      </c>
      <c r="N11" s="22">
        <v>44200</v>
      </c>
      <c r="O11" s="23" t="b">
        <v>1</v>
      </c>
      <c r="P11" s="17" t="s">
        <v>171</v>
      </c>
    </row>
    <row r="12" spans="1:16">
      <c r="A12" s="14" t="s">
        <v>32</v>
      </c>
      <c r="B12" s="15">
        <v>46117</v>
      </c>
      <c r="C12" s="15">
        <v>46114</v>
      </c>
      <c r="D12" s="16" t="s">
        <v>56</v>
      </c>
      <c r="E12" s="16" t="s">
        <v>57</v>
      </c>
      <c r="F12" s="16" t="s">
        <v>107</v>
      </c>
      <c r="G12" s="16" t="s">
        <v>108</v>
      </c>
      <c r="H12" s="16" t="s">
        <v>63</v>
      </c>
      <c r="I12" s="16" t="s">
        <v>64</v>
      </c>
      <c r="J12" s="16" t="s">
        <v>65</v>
      </c>
      <c r="K12" s="16" t="s">
        <v>86</v>
      </c>
      <c r="L12" s="22">
        <v>0</v>
      </c>
      <c r="M12" s="22">
        <v>15500</v>
      </c>
      <c r="N12" s="22">
        <v>-15500</v>
      </c>
      <c r="O12" s="23" t="b">
        <v>1</v>
      </c>
      <c r="P12" s="17" t="s">
        <v>171</v>
      </c>
    </row>
    <row r="13" spans="1:16">
      <c r="A13" s="14" t="s">
        <v>32</v>
      </c>
      <c r="B13" s="15">
        <v>46117</v>
      </c>
      <c r="C13" s="15">
        <v>46115</v>
      </c>
      <c r="D13" s="16" t="s">
        <v>56</v>
      </c>
      <c r="E13" s="16" t="s">
        <v>57</v>
      </c>
      <c r="F13" s="16" t="s">
        <v>107</v>
      </c>
      <c r="G13" s="16" t="s">
        <v>108</v>
      </c>
      <c r="H13" s="16" t="s">
        <v>87</v>
      </c>
      <c r="I13" s="16" t="s">
        <v>88</v>
      </c>
      <c r="J13" s="16" t="s">
        <v>65</v>
      </c>
      <c r="K13" s="16" t="s">
        <v>89</v>
      </c>
      <c r="L13" s="22">
        <v>0</v>
      </c>
      <c r="M13" s="22">
        <v>2200</v>
      </c>
      <c r="N13" s="22">
        <v>-2200</v>
      </c>
      <c r="O13" s="23" t="b">
        <v>1</v>
      </c>
      <c r="P13" s="17" t="s">
        <v>171</v>
      </c>
    </row>
    <row r="14" spans="1:16">
      <c r="A14" s="14" t="s">
        <v>32</v>
      </c>
      <c r="B14" s="15">
        <v>46124</v>
      </c>
      <c r="C14" s="15">
        <v>46119</v>
      </c>
      <c r="D14" s="16" t="s">
        <v>56</v>
      </c>
      <c r="E14" s="16" t="s">
        <v>57</v>
      </c>
      <c r="F14" s="16" t="s">
        <v>107</v>
      </c>
      <c r="G14" s="16" t="s">
        <v>108</v>
      </c>
      <c r="H14" s="16" t="s">
        <v>59</v>
      </c>
      <c r="I14" s="16" t="s">
        <v>60</v>
      </c>
      <c r="J14" s="16" t="s">
        <v>61</v>
      </c>
      <c r="K14" s="16" t="s">
        <v>94</v>
      </c>
      <c r="L14" s="22">
        <v>42800</v>
      </c>
      <c r="M14" s="22">
        <v>0</v>
      </c>
      <c r="N14" s="22">
        <v>42800</v>
      </c>
      <c r="O14" s="23" t="b">
        <v>1</v>
      </c>
      <c r="P14" s="17" t="s">
        <v>171</v>
      </c>
    </row>
    <row r="15" spans="1:16">
      <c r="A15" s="14" t="s">
        <v>32</v>
      </c>
      <c r="B15" s="15">
        <v>46124</v>
      </c>
      <c r="C15" s="15">
        <v>46121</v>
      </c>
      <c r="D15" s="16" t="s">
        <v>56</v>
      </c>
      <c r="E15" s="16" t="s">
        <v>57</v>
      </c>
      <c r="F15" s="16" t="s">
        <v>107</v>
      </c>
      <c r="G15" s="16" t="s">
        <v>108</v>
      </c>
      <c r="H15" s="16" t="s">
        <v>75</v>
      </c>
      <c r="I15" s="16" t="s">
        <v>76</v>
      </c>
      <c r="J15" s="16" t="s">
        <v>65</v>
      </c>
      <c r="K15" s="16" t="s">
        <v>95</v>
      </c>
      <c r="L15" s="22">
        <v>0</v>
      </c>
      <c r="M15" s="22">
        <v>16100</v>
      </c>
      <c r="N15" s="22">
        <v>-16100</v>
      </c>
      <c r="O15" s="23" t="b">
        <v>1</v>
      </c>
      <c r="P15" s="17" t="s">
        <v>171</v>
      </c>
    </row>
    <row r="16" spans="1:16">
      <c r="A16" s="18" t="s">
        <v>32</v>
      </c>
      <c r="B16" s="26">
        <v>46124</v>
      </c>
      <c r="C16" s="26">
        <v>46123</v>
      </c>
      <c r="D16" s="19" t="s">
        <v>56</v>
      </c>
      <c r="E16" s="19" t="s">
        <v>57</v>
      </c>
      <c r="F16" s="19" t="s">
        <v>107</v>
      </c>
      <c r="G16" s="19" t="s">
        <v>108</v>
      </c>
      <c r="H16" s="19" t="s">
        <v>63</v>
      </c>
      <c r="I16" s="19" t="s">
        <v>64</v>
      </c>
      <c r="J16" s="19" t="s">
        <v>65</v>
      </c>
      <c r="K16" s="19" t="s">
        <v>96</v>
      </c>
      <c r="L16" s="27">
        <v>0</v>
      </c>
      <c r="M16" s="27">
        <v>11650</v>
      </c>
      <c r="N16" s="27">
        <v>-11650</v>
      </c>
      <c r="O16" s="28" t="b">
        <v>1</v>
      </c>
      <c r="P16" s="20" t="s">
        <v>171</v>
      </c>
    </row>
    <row r="17" spans="2:14">
      <c r="B17" s="1"/>
      <c r="C17" s="1"/>
      <c r="L17" s="2"/>
      <c r="M17" s="2"/>
      <c r="N17" s="2"/>
    </row>
    <row r="18" spans="2:14">
      <c r="B18" s="1"/>
      <c r="C18" s="1"/>
      <c r="L18" s="2"/>
      <c r="M18" s="2"/>
      <c r="N18" s="2"/>
    </row>
    <row r="19" spans="2:14">
      <c r="B19" s="1"/>
      <c r="C19" s="1"/>
      <c r="L19" s="2"/>
      <c r="M19" s="2"/>
      <c r="N19" s="2"/>
    </row>
    <row r="20" spans="2:14">
      <c r="B20" s="1"/>
      <c r="C20" s="1"/>
      <c r="L20" s="2"/>
      <c r="M20" s="2"/>
      <c r="N20" s="2"/>
    </row>
    <row r="21" spans="2:14">
      <c r="B21" s="1"/>
      <c r="C21" s="1"/>
      <c r="L21" s="2"/>
      <c r="M21" s="2"/>
      <c r="N21" s="2"/>
    </row>
    <row r="22" spans="2:14">
      <c r="B22" s="1"/>
      <c r="C22" s="1"/>
      <c r="L22" s="2"/>
      <c r="M22" s="2"/>
      <c r="N22" s="2"/>
    </row>
    <row r="23" spans="2:14">
      <c r="B23" s="1"/>
      <c r="C23" s="1"/>
      <c r="L23" s="2"/>
      <c r="M23" s="2"/>
      <c r="N23" s="2"/>
    </row>
    <row r="24" spans="2:14">
      <c r="B24" s="1"/>
      <c r="C24" s="1"/>
      <c r="L24" s="2"/>
      <c r="M24" s="2"/>
      <c r="N24" s="2"/>
    </row>
    <row r="25" spans="2:14">
      <c r="B25" s="1"/>
      <c r="C25" s="1"/>
      <c r="L25" s="2"/>
      <c r="M25" s="2"/>
      <c r="N25" s="2"/>
    </row>
    <row r="26" spans="2:14">
      <c r="B26" s="1"/>
      <c r="C26" s="1"/>
      <c r="L26" s="2"/>
      <c r="M26" s="2"/>
      <c r="N26" s="2"/>
    </row>
    <row r="27" spans="2:14">
      <c r="B27" s="1"/>
      <c r="C27" s="1"/>
      <c r="L27" s="2"/>
      <c r="M27" s="2"/>
      <c r="N27" s="2"/>
    </row>
    <row r="28" spans="2:14">
      <c r="B28" s="1"/>
      <c r="C28" s="1"/>
      <c r="L28" s="2"/>
      <c r="M28" s="2"/>
      <c r="N28" s="2"/>
    </row>
    <row r="29" spans="2:14">
      <c r="B29" s="1"/>
      <c r="C29" s="1"/>
      <c r="L29" s="2"/>
      <c r="M29" s="2"/>
      <c r="N29" s="2"/>
    </row>
    <row r="30" spans="2:14">
      <c r="B30" s="1"/>
      <c r="C30" s="1"/>
      <c r="L30" s="2"/>
      <c r="M30" s="2"/>
      <c r="N30" s="2"/>
    </row>
    <row r="31" spans="2:14">
      <c r="B31" s="1"/>
      <c r="C31" s="1"/>
      <c r="L31" s="2"/>
      <c r="M31" s="2"/>
      <c r="N31" s="2"/>
    </row>
    <row r="32" spans="2:14">
      <c r="B32" s="1"/>
      <c r="C32" s="1"/>
      <c r="L32" s="2"/>
      <c r="M32" s="2"/>
      <c r="N32" s="2"/>
    </row>
    <row r="33" spans="2:14">
      <c r="B33" s="1"/>
      <c r="C33" s="1"/>
      <c r="L33" s="2"/>
      <c r="M33" s="2"/>
      <c r="N33" s="2"/>
    </row>
    <row r="34" spans="2:14">
      <c r="B34" s="1"/>
      <c r="C34" s="1"/>
      <c r="L34" s="2"/>
      <c r="M34" s="2"/>
      <c r="N34" s="2"/>
    </row>
    <row r="35" spans="2:14">
      <c r="B35" s="1"/>
      <c r="C35" s="1"/>
      <c r="L35" s="2"/>
      <c r="M35" s="2"/>
      <c r="N35" s="2"/>
    </row>
    <row r="36" spans="2:14">
      <c r="B36" s="1"/>
      <c r="C36" s="1"/>
      <c r="L36" s="2"/>
      <c r="M36" s="2"/>
      <c r="N36" s="2"/>
    </row>
    <row r="37" spans="2:14">
      <c r="B37" s="1"/>
      <c r="C37" s="1"/>
      <c r="L37" s="2"/>
      <c r="M37" s="2"/>
      <c r="N37" s="2"/>
    </row>
    <row r="38" spans="2:14">
      <c r="B38" s="1"/>
      <c r="C38" s="1"/>
      <c r="L38" s="2"/>
      <c r="M38" s="2"/>
      <c r="N38" s="2"/>
    </row>
    <row r="39" spans="2:14">
      <c r="B39" s="1"/>
      <c r="C39" s="1"/>
      <c r="L39" s="2"/>
      <c r="M39" s="2"/>
      <c r="N39" s="2"/>
    </row>
    <row r="40" spans="2:14">
      <c r="B40" s="1"/>
      <c r="C40" s="1"/>
      <c r="L40" s="2"/>
      <c r="M40" s="2"/>
      <c r="N40" s="2"/>
    </row>
    <row r="41" spans="2:14">
      <c r="B41" s="1"/>
      <c r="C41" s="1"/>
      <c r="L41" s="2"/>
      <c r="M41" s="2"/>
      <c r="N41" s="2"/>
    </row>
    <row r="42" spans="2:14">
      <c r="B42" s="1"/>
      <c r="C42" s="1"/>
      <c r="L42" s="2"/>
      <c r="M42" s="2"/>
      <c r="N42" s="2"/>
    </row>
    <row r="43" spans="2:14">
      <c r="B43" s="1"/>
      <c r="C43" s="1"/>
      <c r="L43" s="2"/>
      <c r="M43" s="2"/>
      <c r="N43" s="2"/>
    </row>
    <row r="44" spans="2:14">
      <c r="B44" s="1"/>
      <c r="C44" s="1"/>
      <c r="L44" s="2"/>
      <c r="M44" s="2"/>
      <c r="N44" s="2"/>
    </row>
    <row r="45" spans="2:14">
      <c r="B45" s="1"/>
      <c r="C45" s="1"/>
      <c r="L45" s="2"/>
      <c r="M45" s="2"/>
      <c r="N45" s="2"/>
    </row>
    <row r="46" spans="2:14">
      <c r="B46" s="1"/>
      <c r="C46" s="1"/>
      <c r="L46" s="2"/>
      <c r="M46" s="2"/>
      <c r="N46" s="2"/>
    </row>
    <row r="47" spans="2:14">
      <c r="B47" s="1"/>
      <c r="C47" s="1"/>
      <c r="L47" s="2"/>
      <c r="M47" s="2"/>
      <c r="N47" s="2"/>
    </row>
    <row r="48" spans="2:14">
      <c r="B48" s="1"/>
      <c r="C48" s="1"/>
      <c r="L48" s="2"/>
      <c r="M48" s="2"/>
      <c r="N48" s="2"/>
    </row>
    <row r="49" spans="2:14">
      <c r="B49" s="1"/>
      <c r="C49" s="1"/>
      <c r="L49" s="2"/>
      <c r="M49" s="2"/>
      <c r="N49" s="2"/>
    </row>
    <row r="50" spans="2:14">
      <c r="B50" s="1"/>
      <c r="C50" s="1"/>
      <c r="L50" s="2"/>
      <c r="M50" s="2"/>
      <c r="N50" s="2"/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tabSelected="1" topLeftCell="A2" workbookViewId="0">
      <selection activeCell="B22" sqref="B22"/>
    </sheetView>
  </sheetViews>
  <sheetFormatPr defaultRowHeight="13.8"/>
  <cols>
    <col min="1" max="1" width="18" customWidth="1"/>
    <col min="2" max="2" width="24" customWidth="1"/>
    <col min="3" max="3" width="18" customWidth="1"/>
    <col min="4" max="4" width="16" customWidth="1"/>
    <col min="5" max="5" width="14" customWidth="1"/>
    <col min="6" max="6" width="12" customWidth="1"/>
    <col min="7" max="7" width="34" customWidth="1"/>
    <col min="8" max="8" width="11" customWidth="1"/>
  </cols>
  <sheetData>
    <row r="1" spans="1:8" ht="22.35" customHeight="1">
      <c r="A1" s="38" t="s">
        <v>172</v>
      </c>
      <c r="B1" s="39"/>
      <c r="C1" s="39"/>
      <c r="D1" s="39"/>
      <c r="E1" s="39"/>
      <c r="F1" s="39"/>
      <c r="G1" s="39"/>
      <c r="H1" s="34"/>
    </row>
    <row r="2" spans="1:8" ht="22.35" customHeight="1">
      <c r="A2" s="35" t="s">
        <v>173</v>
      </c>
      <c r="B2" s="34"/>
      <c r="C2" s="34"/>
      <c r="D2" s="34"/>
      <c r="E2" s="34"/>
      <c r="F2" s="34"/>
      <c r="G2" s="34"/>
      <c r="H2" s="34"/>
    </row>
    <row r="4" spans="1:8" ht="19.2" customHeight="1">
      <c r="A4" s="9" t="s">
        <v>43</v>
      </c>
      <c r="B4" s="13" t="s">
        <v>174</v>
      </c>
      <c r="C4" s="13" t="s">
        <v>175</v>
      </c>
      <c r="D4" s="13" t="s">
        <v>176</v>
      </c>
      <c r="E4" s="13" t="s">
        <v>177</v>
      </c>
      <c r="F4" s="13" t="s">
        <v>178</v>
      </c>
      <c r="G4" s="10" t="s">
        <v>25</v>
      </c>
      <c r="H4" s="32" t="s">
        <v>179</v>
      </c>
    </row>
    <row r="5" spans="1:8">
      <c r="A5" s="21">
        <v>46103</v>
      </c>
      <c r="B5" s="22">
        <v>22094.1</v>
      </c>
      <c r="C5" s="22">
        <f>SUMIFS('R365 Raw Pull'!$N$5:$N$16,'R365 Raw Pull'!$B$5:$B$16,A5,'R365 Raw Pull'!$A$5:$A$16,Parameters!$B$7)</f>
        <v>22050</v>
      </c>
      <c r="D5" s="22">
        <f>C5-B5</f>
        <v>-44.099999999998545</v>
      </c>
      <c r="E5" s="30">
        <f>IFERROR(D5/B5,0)</f>
        <v>-1.9960079840318705E-3</v>
      </c>
      <c r="F5" s="16" t="str">
        <f>IF(ABS(E5)&lt;=1%,"PASS","REVIEW")</f>
        <v>PASS</v>
      </c>
      <c r="G5" s="17" t="s">
        <v>180</v>
      </c>
      <c r="H5" t="str">
        <f>TEXT(A5,"m/d")</f>
        <v>3/22</v>
      </c>
    </row>
    <row r="6" spans="1:8">
      <c r="A6" s="21">
        <v>46110</v>
      </c>
      <c r="B6" s="22">
        <v>17629.2</v>
      </c>
      <c r="C6" s="22">
        <f>SUMIFS('R365 Raw Pull'!$N$5:$N$16,'R365 Raw Pull'!$B$5:$B$16,A6,'R365 Raw Pull'!$A$5:$A$16,Parameters!$B$7)</f>
        <v>17700</v>
      </c>
      <c r="D6" s="22">
        <f>C6-B6</f>
        <v>70.799999999999272</v>
      </c>
      <c r="E6" s="30">
        <f>IFERROR(D6/B6,0)</f>
        <v>4.0160642570280713E-3</v>
      </c>
      <c r="F6" s="16" t="str">
        <f>IF(ABS(E6)&lt;=1%,"PASS","REVIEW")</f>
        <v>PASS</v>
      </c>
      <c r="G6" s="17" t="s">
        <v>180</v>
      </c>
      <c r="H6" t="str">
        <f>TEXT(A6,"m/d")</f>
        <v>3/29</v>
      </c>
    </row>
    <row r="7" spans="1:8">
      <c r="A7" s="21">
        <v>46117</v>
      </c>
      <c r="B7" s="22">
        <v>26500</v>
      </c>
      <c r="C7" s="22">
        <f>SUMIFS('R365 Raw Pull'!$N$5:$N$16,'R365 Raw Pull'!$B$5:$B$16,A7,'R365 Raw Pull'!$A$5:$A$16,Parameters!$B$7)</f>
        <v>26500</v>
      </c>
      <c r="D7" s="22">
        <f>C7-B7</f>
        <v>0</v>
      </c>
      <c r="E7" s="30">
        <f>IFERROR(D7/B7,0)</f>
        <v>0</v>
      </c>
      <c r="F7" s="16" t="str">
        <f>IF(ABS(E7)&lt;=1%,"PASS","REVIEW")</f>
        <v>PASS</v>
      </c>
      <c r="G7" s="17" t="s">
        <v>180</v>
      </c>
      <c r="H7" t="str">
        <f>TEXT(A7,"m/d")</f>
        <v>4/5</v>
      </c>
    </row>
    <row r="8" spans="1:8">
      <c r="A8" s="25">
        <v>46124</v>
      </c>
      <c r="B8" s="27">
        <v>15110.2</v>
      </c>
      <c r="C8" s="27">
        <f>SUMIFS('R365 Raw Pull'!$N$5:$N$16,'R365 Raw Pull'!$B$5:$B$16,A8,'R365 Raw Pull'!$A$5:$A$16,Parameters!$B$7)</f>
        <v>15050</v>
      </c>
      <c r="D8" s="27">
        <f>C8-B8</f>
        <v>-60.200000000000728</v>
      </c>
      <c r="E8" s="31">
        <f>IFERROR(D8/B8,0)</f>
        <v>-3.984063745019968E-3</v>
      </c>
      <c r="F8" s="19" t="str">
        <f>IF(ABS(E8)&lt;=1%,"PASS","REVIEW")</f>
        <v>PASS</v>
      </c>
      <c r="G8" s="20" t="s">
        <v>180</v>
      </c>
      <c r="H8" t="str">
        <f>TEXT(A8,"m/d")</f>
        <v>4/12</v>
      </c>
    </row>
    <row r="11" spans="1:8">
      <c r="A11" s="40" t="s">
        <v>181</v>
      </c>
      <c r="B11" s="34"/>
    </row>
    <row r="12" spans="1:8">
      <c r="A12" s="3" t="s">
        <v>182</v>
      </c>
      <c r="B12" s="4" t="s">
        <v>183</v>
      </c>
    </row>
    <row r="13" spans="1:8">
      <c r="A13" s="5" t="s">
        <v>184</v>
      </c>
      <c r="B13" s="6">
        <v>4</v>
      </c>
    </row>
    <row r="14" spans="1:8">
      <c r="A14" s="5" t="s">
        <v>185</v>
      </c>
      <c r="B14" s="6">
        <f>COUNTIF(F5:F8,"PASS")</f>
        <v>4</v>
      </c>
    </row>
    <row r="15" spans="1:8">
      <c r="A15" s="7" t="s">
        <v>186</v>
      </c>
      <c r="B15" s="8" t="str">
        <f>IF(B14=B13,"READY FOR CLIENT QA","REVIEW EXCEPTIONS")</f>
        <v>READY FOR CLIENT QA</v>
      </c>
    </row>
  </sheetData>
  <mergeCells count="3">
    <mergeCell ref="A1:H1"/>
    <mergeCell ref="A2:H2"/>
    <mergeCell ref="A11:B11"/>
  </mergeCells>
  <conditionalFormatting sqref="E5:E8">
    <cfRule type="cellIs" dxfId="2" priority="3" operator="greaterThan">
      <formula>0.01</formula>
    </cfRule>
  </conditionalFormatting>
  <conditionalFormatting sqref="F5:F8">
    <cfRule type="expression" dxfId="1" priority="1">
      <formula>F5="PASS"</formula>
    </cfRule>
    <cfRule type="expression" dxfId="0" priority="2">
      <formula>F5="REVIEW"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Parameters</vt:lpstr>
      <vt:lpstr>Mock GL Lines</vt:lpstr>
      <vt:lpstr>GL Mapping</vt:lpstr>
      <vt:lpstr>Filter Spec</vt:lpstr>
      <vt:lpstr>R365 Raw Pull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TOSIN Bello</cp:lastModifiedBy>
  <dcterms:created xsi:type="dcterms:W3CDTF">2026-05-24T12:26:19Z</dcterms:created>
  <dcterms:modified xsi:type="dcterms:W3CDTF">2026-05-24T12:26:19Z</dcterms:modified>
</cp:coreProperties>
</file>